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أنشطة" sheetId="1" state="visible" r:id="rId3"/>
    <sheet name="ملخص المجالات" sheetId="2" state="visible" r:id="rId4"/>
    <sheet name="المخرجات" sheetId="3" state="visible" r:id="rId5"/>
    <sheet name="مؤشرات KPI" sheetId="4" state="visible" r:id="rId6"/>
    <sheet name="دليل الاستخدام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<sst xmlns="http://schemas.openxmlformats.org/spreadsheetml/2006/main" count="234" uniqueCount="121">
  <si>
    <t xml:space="preserve">برنامج التحول المؤسسي — متابعة الأنشطة</t>
  </si>
  <si>
    <t xml:space="preserve">#</t>
  </si>
  <si>
    <t xml:space="preserve">المجال الاستراتيجي</t>
  </si>
  <si>
    <t xml:space="preserve">النشاط</t>
  </si>
  <si>
    <t xml:space="preserve">المرحلة</t>
  </si>
  <si>
    <t xml:space="preserve">أسبوع البداية</t>
  </si>
  <si>
    <t xml:space="preserve">أسبوع النهاية</t>
  </si>
  <si>
    <t xml:space="preserve">نسبة الإنجاز</t>
  </si>
  <si>
    <t xml:space="preserve">الحالة</t>
  </si>
  <si>
    <t xml:space="preserve">التخطيط الاستراتيجي وقياس الأداء</t>
  </si>
  <si>
    <t xml:space="preserve">إعداد ميثاق المشروع</t>
  </si>
  <si>
    <t xml:space="preserve">م١ تهيئة</t>
  </si>
  <si>
    <t xml:space="preserve">مكتمل</t>
  </si>
  <si>
    <t xml:space="preserve">جمع الوثائق الاستراتيجية</t>
  </si>
  <si>
    <t xml:space="preserve">قيد التنفيذ</t>
  </si>
  <si>
    <t xml:space="preserve">تقييم جودة الأهداف</t>
  </si>
  <si>
    <t xml:space="preserve">م٢ تحليل</t>
  </si>
  <si>
    <t xml:space="preserve">تحليل مؤشرات الأداء KPIs</t>
  </si>
  <si>
    <t xml:space="preserve">لم يبدأ</t>
  </si>
  <si>
    <t xml:space="preserve">تقرير تقييم الإطار الاستراتيجي</t>
  </si>
  <si>
    <t xml:space="preserve">م٣ تقييم</t>
  </si>
  <si>
    <t xml:space="preserve">التنظيم الإداري</t>
  </si>
  <si>
    <t xml:space="preserve">رسم هيكل الأدوار والصلاحيات</t>
  </si>
  <si>
    <t xml:space="preserve">تحليل تداخل المهام</t>
  </si>
  <si>
    <t xml:space="preserve">تقرير الهيكل التنظيمي</t>
  </si>
  <si>
    <t xml:space="preserve">التحول الرقمي</t>
  </si>
  <si>
    <t xml:space="preserve">تقييم مستوى النضج الرقمي</t>
  </si>
  <si>
    <t xml:space="preserve">تحليل الأنظمة والبنية التقنية</t>
  </si>
  <si>
    <t xml:space="preserve">تقرير الاستراتيجية الرقمية</t>
  </si>
  <si>
    <t xml:space="preserve">م٥ خارطة</t>
  </si>
  <si>
    <t xml:space="preserve">الحوكمة المؤسسية</t>
  </si>
  <si>
    <t xml:space="preserve">مراجعة هيكل الحوكمة</t>
  </si>
  <si>
    <t xml:space="preserve">تحليل اللجان والقرارات</t>
  </si>
  <si>
    <t xml:space="preserve">البنية المؤسسية</t>
  </si>
  <si>
    <t xml:space="preserve">رسم خرائط الوحدات</t>
  </si>
  <si>
    <t xml:space="preserve">متأخر</t>
  </si>
  <si>
    <t xml:space="preserve">تحليل الفجوات الهيكلية</t>
  </si>
  <si>
    <t xml:space="preserve">م٤ فجوات</t>
  </si>
  <si>
    <t xml:space="preserve">العمليات الفنية للنيابة</t>
  </si>
  <si>
    <t xml:space="preserve">توثيق مسار القضايا</t>
  </si>
  <si>
    <t xml:space="preserve">تقييم الكفاءة الزمنية</t>
  </si>
  <si>
    <t xml:space="preserve">تجربة المستفيد</t>
  </si>
  <si>
    <t xml:space="preserve">رسم رحلة المستفيد</t>
  </si>
  <si>
    <t xml:space="preserve">قياس رضا المستفيد</t>
  </si>
  <si>
    <t xml:space="preserve">التخطيط المالي وكفاءة الإنفاق</t>
  </si>
  <si>
    <t xml:space="preserve">تحليل كفاءة الميزانية</t>
  </si>
  <si>
    <t xml:space="preserve">الموارد البشرية والكفاءات</t>
  </si>
  <si>
    <t xml:space="preserve">تحليل القوى العاملة</t>
  </si>
  <si>
    <t xml:space="preserve">تحليل فجوات الكفاءات</t>
  </si>
  <si>
    <t xml:space="preserve">الأمن السيبراني</t>
  </si>
  <si>
    <t xml:space="preserve">تقييم ضوابط NCA</t>
  </si>
  <si>
    <t xml:space="preserve">تحليل الفجوات الأمنية</t>
  </si>
  <si>
    <t xml:space="preserve">الخارطة الأمنية</t>
  </si>
  <si>
    <t xml:space="preserve">ملخص إنجاز المجالات — يُغذِّي الداشبورد تلقائياً</t>
  </si>
  <si>
    <t xml:space="preserve">إجمالي الأنشطة</t>
  </si>
  <si>
    <t xml:space="preserve">مكتملة</t>
  </si>
  <si>
    <t xml:space="preserve">متأخرة</t>
  </si>
  <si>
    <t xml:space="preserve">لم تبدأ</t>
  </si>
  <si>
    <t xml:space="preserve">الإجمالي</t>
  </si>
  <si>
    <t xml:space="preserve">متابعة المخرجات — برنامج التحول المؤسسي</t>
  </si>
  <si>
    <t xml:space="preserve">المجال</t>
  </si>
  <si>
    <t xml:space="preserve">المخرج</t>
  </si>
  <si>
    <t xml:space="preserve">النوع</t>
  </si>
  <si>
    <t xml:space="preserve">الأسبوع المخطط</t>
  </si>
  <si>
    <t xml:space="preserve">التخطيط الاستراتيجي</t>
  </si>
  <si>
    <t xml:space="preserve">مرحلي</t>
  </si>
  <si>
    <t xml:space="preserve">الأسبوع 2</t>
  </si>
  <si>
    <t xml:space="preserve">مُسلَّم</t>
  </si>
  <si>
    <t xml:space="preserve">تقرير تقييم الأهداف والمؤشرات</t>
  </si>
  <si>
    <t xml:space="preserve">الأسبوع 5</t>
  </si>
  <si>
    <t xml:space="preserve">قيد الإعداد</t>
  </si>
  <si>
    <t xml:space="preserve">تقرير مستوى النضج الرقمي</t>
  </si>
  <si>
    <t xml:space="preserve">تقرير إطار الحوكمة</t>
  </si>
  <si>
    <t xml:space="preserve">تقرير تقييم NCA</t>
  </si>
  <si>
    <t xml:space="preserve">خرائط الوحدات التنظيمية</t>
  </si>
  <si>
    <t xml:space="preserve">الأسبوع 4</t>
  </si>
  <si>
    <t xml:space="preserve">تقرير رحلة المستفيد</t>
  </si>
  <si>
    <t xml:space="preserve">الموارد البشرية</t>
  </si>
  <si>
    <t xml:space="preserve">نهائي</t>
  </si>
  <si>
    <t xml:space="preserve">الأسبوع 12</t>
  </si>
  <si>
    <t xml:space="preserve">خارطة الطريق الرقمية</t>
  </si>
  <si>
    <t xml:space="preserve">خارطة الطريق الاستراتيجية</t>
  </si>
  <si>
    <t xml:space="preserve">الخارطة الأمنية الشاملة</t>
  </si>
  <si>
    <t xml:space="preserve">مؤشرات الأداء — تُقرأ تلقائياً من الداشبورد</t>
  </si>
  <si>
    <t xml:space="preserve">المؤشر</t>
  </si>
  <si>
    <t xml:space="preserve">القيمة</t>
  </si>
  <si>
    <t xml:space="preserve">ملاحظة</t>
  </si>
  <si>
    <t xml:space="preserve">عدد الأنشطة الكلي</t>
  </si>
  <si>
    <t xml:space="preserve">الأنشطة المكتملة</t>
  </si>
  <si>
    <t xml:space="preserve">الأنشطة قيد التنفيذ</t>
  </si>
  <si>
    <t xml:space="preserve">الأنشطة المتأخرة</t>
  </si>
  <si>
    <t xml:space="preserve">تحتاج تصعيداً فورياً</t>
  </si>
  <si>
    <t xml:space="preserve">الأنشطة لم تبدأ</t>
  </si>
  <si>
    <t xml:space="preserve">نسبة الإنجاز الكلية</t>
  </si>
  <si>
    <t xml:space="preserve">إنجاز الفريق الاستشاري</t>
  </si>
  <si>
    <t xml:space="preserve">إجمالي المخرجات</t>
  </si>
  <si>
    <t xml:space="preserve">المخرجات المسلَّمة</t>
  </si>
  <si>
    <t xml:space="preserve">المخرجات قيد الإعداد</t>
  </si>
  <si>
    <t xml:space="preserve">المخرجات المتأخرة</t>
  </si>
  <si>
    <t xml:space="preserve">نسبة المخرجات المنجزة</t>
  </si>
  <si>
    <t xml:space="preserve">الأسبوع الحالي</t>
  </si>
  <si>
    <t xml:space="preserve">← عدِّل هذا الرقم أسبوعياً (١ إلى ١٢)</t>
  </si>
  <si>
    <t xml:space="preserve">إجمالي الأسابيع</t>
  </si>
  <si>
    <t xml:space="preserve">لا تعدّل</t>
  </si>
  <si>
    <t xml:space="preserve">نسبة الوقت المنقضي</t>
  </si>
  <si>
    <t xml:space="preserve">برنامج التحول المؤسسي — دليل استخدام ملف المتابعة</t>
  </si>
  <si>
    <t xml:space="preserve">الغرض من الملف</t>
  </si>
  <si>
    <t xml:space="preserve">هذا الملف هو مصدر البيانات للداشبورد. أي تعديل هنا يظهر فوراً عند رفع الملف.</t>
  </si>
  <si>
    <t xml:space="preserve">الأوراق الأربع:</t>
  </si>
  <si>
    <t xml:space="preserve">١. الأنشطة — أدخل وحدِّث نسبة إنجاز كل نشاط وحالته</t>
  </si>
  <si>
    <t xml:space="preserve">٢. ملخص المجالات — محسوبة تلقائياً، لا تعدّل</t>
  </si>
  <si>
    <t xml:space="preserve">٣. المخرجات — تتبع حالة كل مخرج مرحلي ونهائي</t>
  </si>
  <si>
    <t xml:space="preserve">٤. مؤشرات KPI — محسوبة تلقائياً، عدِّل فقط الأسبوع الحالي (B14)</t>
  </si>
  <si>
    <t xml:space="preserve">كيفية تحديث البيانات أسبوعياً:</t>
  </si>
  <si>
    <t xml:space="preserve">١. افتح ورقة الأنشطة</t>
  </si>
  <si>
    <t xml:space="preserve">٢. في عمود G (نسبة الإنجاز): أدخل النسبة (مثال: 0.75 = 75٪)</t>
  </si>
  <si>
    <t xml:space="preserve">٣. في عمود H (الحالة): اختر من القائمة المنسدلة</t>
  </si>
  <si>
    <t xml:space="preserve">٤. في ورقة مؤشرات KPI الخلية B14: حدِّث رقم الأسبوع</t>
  </si>
  <si>
    <t xml:space="preserve">٥. احفظ الملف ثم ارفعه على الداشبورد عبر زر رفع ملف Excel</t>
  </si>
  <si>
    <t xml:space="preserve">تنبيه مهم:</t>
  </si>
  <si>
    <t xml:space="preserve">لا تعدّل الخلايا التي تحتوي على صيغ (تبدأ بـ =) في أوراق الملخص والمؤشرات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</si>
</sst>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4A38"/>
      <name val="Arial"/>
      <family val="0"/>
      <charset val="1"/>
    </font>
    <font>
      <sz val="10"/>
      <color rgb="FF1A4A38"/>
      <name val="Arial"/>
      <family val="0"/>
      <charset val="1"/>
    </font>
    <font>
      <b val="true"/>
      <sz val="10"/>
      <color rgb="FF1A7A5E"/>
      <name val="Arial"/>
      <family val="0"/>
      <charset val="1"/>
    </font>
    <font>
      <b val="true"/>
      <sz val="10"/>
      <color rgb="FF1A5030"/>
      <name val="Arial"/>
      <family val="0"/>
      <charset val="1"/>
    </font>
    <font>
      <b val="true"/>
      <sz val="10"/>
      <color rgb="FF7A5A10"/>
      <name val="Arial"/>
      <family val="0"/>
      <charset val="1"/>
    </font>
    <font>
      <b val="true"/>
      <sz val="10"/>
      <color rgb="FF4A2880"/>
      <name val="Arial"/>
      <family val="0"/>
      <charset val="1"/>
    </font>
    <font>
      <b val="true"/>
      <sz val="10"/>
      <color rgb="FF7A30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7A5A10"/>
      <name val="Arial"/>
      <family val="0"/>
      <charset val="1"/>
    </font>
    <font>
      <sz val="10"/>
      <color rgb="FF7A3010"/>
      <name val="Arial"/>
      <family val="0"/>
      <charset val="1"/>
    </font>
    <font>
      <sz val="10"/>
      <color rgb="FF4A28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A2A00"/>
      <name val="Arial"/>
      <family val="0"/>
      <charset val="1"/>
    </font>
    <font>
      <b val="true"/>
      <sz val="11"/>
      <color rgb="FF1A7A5E"/>
      <name val="Arial"/>
      <family val="0"/>
      <charset val="1"/>
    </font>
    <font>
      <sz val="10"/>
      <color rgb="FF7AAA8A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0"/>
      <color rgb="FF7AAA8A"/>
      <name val="Arial"/>
      <family val="0"/>
      <charset val="1"/>
    </font>
    <font>
      <sz val="11"/>
      <color rgb="FF1A4A3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D3B2E"/>
      <name val="Arial"/>
      <family val="0"/>
      <charset val="1"/>
    </font>
    <font>
      <sz val="11"/>
      <color rgb="FF7A30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5040"/>
        <bgColor rgb="FF1A5030"/>
      </patternFill>
    </fill>
    <fill>
      <patternFill patternType="solid">
        <fgColor rgb="FF2A9070"/>
        <bgColor rgb="FF1A7A5E"/>
      </patternFill>
    </fill>
    <fill>
      <patternFill patternType="solid">
        <fgColor rgb="FFFFFFFF"/>
        <bgColor rgb="FFF4FAF7"/>
      </patternFill>
    </fill>
    <fill>
      <patternFill patternType="solid">
        <fgColor rgb="FFD4F0E4"/>
        <bgColor rgb="FFE8F4EE"/>
      </patternFill>
    </fill>
    <fill>
      <patternFill patternType="solid">
        <fgColor rgb="FFF4FAF7"/>
        <bgColor rgb="FFFDF8E8"/>
      </patternFill>
    </fill>
    <fill>
      <patternFill patternType="solid">
        <fgColor rgb="FFFDF8E8"/>
        <bgColor rgb="FFFDF6E3"/>
      </patternFill>
    </fill>
    <fill>
      <patternFill patternType="solid">
        <fgColor rgb="FFEDE8F8"/>
        <bgColor rgb="FFE8F4EE"/>
      </patternFill>
    </fill>
    <fill>
      <patternFill patternType="solid">
        <fgColor rgb="FFFDF0E8"/>
        <bgColor rgb="FFFDF6E3"/>
      </patternFill>
    </fill>
    <fill>
      <patternFill patternType="solid">
        <fgColor rgb="FFC9A84C"/>
        <bgColor rgb="FF99CC00"/>
      </patternFill>
    </fill>
    <fill>
      <patternFill patternType="solid">
        <fgColor rgb="FFFDF6E3"/>
        <bgColor rgb="FFFDF8E8"/>
      </patternFill>
    </fill>
    <fill>
      <patternFill patternType="solid">
        <fgColor rgb="FFE8F4EE"/>
        <bgColor rgb="FFF4FAF7"/>
      </patternFill>
    </fill>
    <fill>
      <patternFill patternType="solid">
        <fgColor rgb="FF8A2020"/>
        <bgColor rgb="FF7A301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DDD0"/>
      </left>
      <right style="thin">
        <color rgb="FFB8DDD0"/>
      </right>
      <top style="thin">
        <color rgb="FFB8DDD0"/>
      </top>
      <bottom style="thin">
        <color rgb="FFB8D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1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9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2020"/>
      <rgbColor rgb="FF1A5030"/>
      <rgbColor rgb="FF000080"/>
      <rgbColor rgb="FF7A5A10"/>
      <rgbColor rgb="FF800080"/>
      <rgbColor rgb="FF1A7A5E"/>
      <rgbColor rgb="FFEDE8F8"/>
      <rgbColor rgb="FF808080"/>
      <rgbColor rgb="FF9999FF"/>
      <rgbColor rgb="FF993366"/>
      <rgbColor rgb="FFFDF6E3"/>
      <rgbColor rgb="FFE8F4EE"/>
      <rgbColor rgb="FF660066"/>
      <rgbColor rgb="FFFF8080"/>
      <rgbColor rgb="FF0066CC"/>
      <rgbColor rgb="FFB8DD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AF7"/>
      <rgbColor rgb="FFD4F0E4"/>
      <rgbColor rgb="FFFDF8E8"/>
      <rgbColor rgb="FF99CCFF"/>
      <rgbColor rgb="FFFF99CC"/>
      <rgbColor rgb="FFCC99FF"/>
      <rgbColor rgb="FFFDF0E8"/>
      <rgbColor rgb="FF3366FF"/>
      <rgbColor rgb="FF33CCCC"/>
      <rgbColor rgb="FF99CC00"/>
      <rgbColor rgb="FFFFCC00"/>
      <rgbColor rgb="FFC9A84C"/>
      <rgbColor rgb="FFFF6600"/>
      <rgbColor rgb="FF666699"/>
      <rgbColor rgb="FF7AAA8A"/>
      <rgbColor rgb="FF1A5040"/>
      <rgbColor rgb="FF2A9070"/>
      <rgbColor rgb="FF0D3B2E"/>
      <rgbColor rgb="FF1A2A00"/>
      <rgbColor rgb="FF7A3010"/>
      <rgbColor rgb="FF993366"/>
      <rgbColor rgb="FF4A2880"/>
      <rgbColor rgb="FF1A4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1.75" hidden="false" customHeight="true" outlineLevel="0" collapsed="false">
      <c r="A3" s="3" t="n">
        <v>1</v>
      </c>
      <c r="B3" s="4" t="s">
        <v>9</v>
      </c>
      <c r="C3" s="4" t="s">
        <v>10</v>
      </c>
      <c r="D3" s="5" t="s">
        <v>11</v>
      </c>
      <c r="E3" s="5" t="n">
        <v>1</v>
      </c>
      <c r="F3" s="5" t="n">
        <v>1</v>
      </c>
      <c r="G3" s="6" t="n">
        <v>1</v>
      </c>
      <c r="H3" s="7" t="s">
        <v>12</v>
      </c>
    </row>
    <row r="4" customFormat="false" ht="21.75" hidden="false" customHeight="true" outlineLevel="0" collapsed="false">
      <c r="A4" s="8" t="n">
        <v>2</v>
      </c>
      <c r="B4" s="9" t="s">
        <v>9</v>
      </c>
      <c r="C4" s="9" t="s">
        <v>13</v>
      </c>
      <c r="D4" s="10" t="s">
        <v>11</v>
      </c>
      <c r="E4" s="10" t="n">
        <v>1</v>
      </c>
      <c r="F4" s="10" t="n">
        <v>2</v>
      </c>
      <c r="G4" s="11" t="n">
        <v>0.8</v>
      </c>
      <c r="H4" s="12" t="s">
        <v>14</v>
      </c>
    </row>
    <row r="5" customFormat="false" ht="21.75" hidden="false" customHeight="true" outlineLevel="0" collapsed="false">
      <c r="A5" s="3" t="n">
        <v>3</v>
      </c>
      <c r="B5" s="4" t="s">
        <v>9</v>
      </c>
      <c r="C5" s="4" t="s">
        <v>15</v>
      </c>
      <c r="D5" s="5" t="s">
        <v>16</v>
      </c>
      <c r="E5" s="5" t="n">
        <v>3</v>
      </c>
      <c r="F5" s="5" t="n">
        <v>4</v>
      </c>
      <c r="G5" s="6" t="n">
        <v>0.2</v>
      </c>
      <c r="H5" s="12" t="s">
        <v>14</v>
      </c>
    </row>
    <row r="6" customFormat="false" ht="21.75" hidden="false" customHeight="true" outlineLevel="0" collapsed="false">
      <c r="A6" s="8" t="n">
        <v>4</v>
      </c>
      <c r="B6" s="9" t="s">
        <v>9</v>
      </c>
      <c r="C6" s="9" t="s">
        <v>17</v>
      </c>
      <c r="D6" s="10" t="s">
        <v>16</v>
      </c>
      <c r="E6" s="10" t="n">
        <v>4</v>
      </c>
      <c r="F6" s="10" t="n">
        <v>5</v>
      </c>
      <c r="G6" s="11" t="n">
        <v>0</v>
      </c>
      <c r="H6" s="13" t="s">
        <v>18</v>
      </c>
    </row>
    <row r="7" customFormat="false" ht="21.75" hidden="false" customHeight="true" outlineLevel="0" collapsed="false">
      <c r="A7" s="3" t="n">
        <v>5</v>
      </c>
      <c r="B7" s="4" t="s">
        <v>9</v>
      </c>
      <c r="C7" s="4" t="s">
        <v>19</v>
      </c>
      <c r="D7" s="5" t="s">
        <v>20</v>
      </c>
      <c r="E7" s="5" t="n">
        <v>6</v>
      </c>
      <c r="F7" s="5" t="n">
        <v>7</v>
      </c>
      <c r="G7" s="6" t="n">
        <v>0</v>
      </c>
      <c r="H7" s="13" t="s">
        <v>18</v>
      </c>
    </row>
    <row r="8" customFormat="false" ht="21.75" hidden="false" customHeight="true" outlineLevel="0" collapsed="false">
      <c r="A8" s="8" t="n">
        <v>6</v>
      </c>
      <c r="B8" s="9" t="s">
        <v>21</v>
      </c>
      <c r="C8" s="9" t="s">
        <v>22</v>
      </c>
      <c r="D8" s="10" t="s">
        <v>11</v>
      </c>
      <c r="E8" s="10" t="n">
        <v>1</v>
      </c>
      <c r="F8" s="10" t="n">
        <v>2</v>
      </c>
      <c r="G8" s="11" t="n">
        <v>1</v>
      </c>
      <c r="H8" s="7" t="s">
        <v>12</v>
      </c>
    </row>
    <row r="9" customFormat="false" ht="21.75" hidden="false" customHeight="true" outlineLevel="0" collapsed="false">
      <c r="A9" s="3" t="n">
        <v>7</v>
      </c>
      <c r="B9" s="4" t="s">
        <v>21</v>
      </c>
      <c r="C9" s="4" t="s">
        <v>23</v>
      </c>
      <c r="D9" s="5" t="s">
        <v>16</v>
      </c>
      <c r="E9" s="5" t="n">
        <v>3</v>
      </c>
      <c r="F9" s="5" t="n">
        <v>4</v>
      </c>
      <c r="G9" s="6" t="n">
        <v>0.6</v>
      </c>
      <c r="H9" s="12" t="s">
        <v>14</v>
      </c>
    </row>
    <row r="10" customFormat="false" ht="21.75" hidden="false" customHeight="true" outlineLevel="0" collapsed="false">
      <c r="A10" s="8" t="n">
        <v>8</v>
      </c>
      <c r="B10" s="9" t="s">
        <v>21</v>
      </c>
      <c r="C10" s="9" t="s">
        <v>24</v>
      </c>
      <c r="D10" s="10" t="s">
        <v>20</v>
      </c>
      <c r="E10" s="10" t="n">
        <v>6</v>
      </c>
      <c r="F10" s="10" t="n">
        <v>7</v>
      </c>
      <c r="G10" s="11" t="n">
        <v>0</v>
      </c>
      <c r="H10" s="13" t="s">
        <v>18</v>
      </c>
    </row>
    <row r="11" customFormat="false" ht="21.75" hidden="false" customHeight="true" outlineLevel="0" collapsed="false">
      <c r="A11" s="3" t="n">
        <v>9</v>
      </c>
      <c r="B11" s="4" t="s">
        <v>25</v>
      </c>
      <c r="C11" s="4" t="s">
        <v>26</v>
      </c>
      <c r="D11" s="5" t="s">
        <v>11</v>
      </c>
      <c r="E11" s="5" t="n">
        <v>1</v>
      </c>
      <c r="F11" s="5" t="n">
        <v>2</v>
      </c>
      <c r="G11" s="6" t="n">
        <v>0.85</v>
      </c>
      <c r="H11" s="12" t="s">
        <v>14</v>
      </c>
    </row>
    <row r="12" customFormat="false" ht="21.75" hidden="false" customHeight="true" outlineLevel="0" collapsed="false">
      <c r="A12" s="8" t="n">
        <v>10</v>
      </c>
      <c r="B12" s="9" t="s">
        <v>25</v>
      </c>
      <c r="C12" s="9" t="s">
        <v>27</v>
      </c>
      <c r="D12" s="10" t="s">
        <v>16</v>
      </c>
      <c r="E12" s="10" t="n">
        <v>3</v>
      </c>
      <c r="F12" s="10" t="n">
        <v>5</v>
      </c>
      <c r="G12" s="11" t="n">
        <v>0.3</v>
      </c>
      <c r="H12" s="12" t="s">
        <v>14</v>
      </c>
    </row>
    <row r="13" customFormat="false" ht="21.75" hidden="false" customHeight="true" outlineLevel="0" collapsed="false">
      <c r="A13" s="3" t="n">
        <v>11</v>
      </c>
      <c r="B13" s="4" t="s">
        <v>25</v>
      </c>
      <c r="C13" s="4" t="s">
        <v>28</v>
      </c>
      <c r="D13" s="5" t="s">
        <v>29</v>
      </c>
      <c r="E13" s="5" t="n">
        <v>11</v>
      </c>
      <c r="F13" s="5" t="n">
        <v>12</v>
      </c>
      <c r="G13" s="6" t="n">
        <v>0</v>
      </c>
      <c r="H13" s="13" t="s">
        <v>18</v>
      </c>
    </row>
    <row r="14" customFormat="false" ht="21.75" hidden="false" customHeight="true" outlineLevel="0" collapsed="false">
      <c r="A14" s="8" t="n">
        <v>12</v>
      </c>
      <c r="B14" s="9" t="s">
        <v>30</v>
      </c>
      <c r="C14" s="9" t="s">
        <v>31</v>
      </c>
      <c r="D14" s="10" t="s">
        <v>11</v>
      </c>
      <c r="E14" s="10" t="n">
        <v>1</v>
      </c>
      <c r="F14" s="10" t="n">
        <v>2</v>
      </c>
      <c r="G14" s="11" t="n">
        <v>0.9</v>
      </c>
      <c r="H14" s="12" t="s">
        <v>14</v>
      </c>
    </row>
    <row r="15" customFormat="false" ht="21.75" hidden="false" customHeight="true" outlineLevel="0" collapsed="false">
      <c r="A15" s="3" t="n">
        <v>13</v>
      </c>
      <c r="B15" s="4" t="s">
        <v>30</v>
      </c>
      <c r="C15" s="4" t="s">
        <v>32</v>
      </c>
      <c r="D15" s="5" t="s">
        <v>20</v>
      </c>
      <c r="E15" s="5" t="n">
        <v>6</v>
      </c>
      <c r="F15" s="5" t="n">
        <v>8</v>
      </c>
      <c r="G15" s="6" t="n">
        <v>0</v>
      </c>
      <c r="H15" s="13" t="s">
        <v>18</v>
      </c>
    </row>
    <row r="16" customFormat="false" ht="21.75" hidden="false" customHeight="true" outlineLevel="0" collapsed="false">
      <c r="A16" s="8" t="n">
        <v>14</v>
      </c>
      <c r="B16" s="9" t="s">
        <v>33</v>
      </c>
      <c r="C16" s="9" t="s">
        <v>34</v>
      </c>
      <c r="D16" s="10" t="s">
        <v>16</v>
      </c>
      <c r="E16" s="10" t="n">
        <v>3</v>
      </c>
      <c r="F16" s="10" t="n">
        <v>4</v>
      </c>
      <c r="G16" s="11" t="n">
        <v>0.4</v>
      </c>
      <c r="H16" s="14" t="s">
        <v>35</v>
      </c>
    </row>
    <row r="17" customFormat="false" ht="21.75" hidden="false" customHeight="true" outlineLevel="0" collapsed="false">
      <c r="A17" s="3" t="n">
        <v>15</v>
      </c>
      <c r="B17" s="4" t="s">
        <v>33</v>
      </c>
      <c r="C17" s="4" t="s">
        <v>36</v>
      </c>
      <c r="D17" s="5" t="s">
        <v>37</v>
      </c>
      <c r="E17" s="5" t="n">
        <v>9</v>
      </c>
      <c r="F17" s="5" t="n">
        <v>10</v>
      </c>
      <c r="G17" s="6" t="n">
        <v>0</v>
      </c>
      <c r="H17" s="13" t="s">
        <v>18</v>
      </c>
    </row>
    <row r="18" customFormat="false" ht="21.75" hidden="false" customHeight="true" outlineLevel="0" collapsed="false">
      <c r="A18" s="8" t="n">
        <v>16</v>
      </c>
      <c r="B18" s="9" t="s">
        <v>38</v>
      </c>
      <c r="C18" s="9" t="s">
        <v>39</v>
      </c>
      <c r="D18" s="10" t="s">
        <v>16</v>
      </c>
      <c r="E18" s="10" t="n">
        <v>2</v>
      </c>
      <c r="F18" s="10" t="n">
        <v>3</v>
      </c>
      <c r="G18" s="11" t="n">
        <v>0.65</v>
      </c>
      <c r="H18" s="12" t="s">
        <v>14</v>
      </c>
    </row>
    <row r="19" customFormat="false" ht="21.75" hidden="false" customHeight="true" outlineLevel="0" collapsed="false">
      <c r="A19" s="3" t="n">
        <v>17</v>
      </c>
      <c r="B19" s="4" t="s">
        <v>38</v>
      </c>
      <c r="C19" s="4" t="s">
        <v>40</v>
      </c>
      <c r="D19" s="5" t="s">
        <v>20</v>
      </c>
      <c r="E19" s="5" t="n">
        <v>4</v>
      </c>
      <c r="F19" s="5" t="n">
        <v>5</v>
      </c>
      <c r="G19" s="6" t="n">
        <v>0</v>
      </c>
      <c r="H19" s="13" t="s">
        <v>18</v>
      </c>
    </row>
    <row r="20" customFormat="false" ht="21.75" hidden="false" customHeight="true" outlineLevel="0" collapsed="false">
      <c r="A20" s="8" t="n">
        <v>18</v>
      </c>
      <c r="B20" s="9" t="s">
        <v>41</v>
      </c>
      <c r="C20" s="9" t="s">
        <v>42</v>
      </c>
      <c r="D20" s="10" t="s">
        <v>16</v>
      </c>
      <c r="E20" s="10" t="n">
        <v>3</v>
      </c>
      <c r="F20" s="10" t="n">
        <v>4</v>
      </c>
      <c r="G20" s="11" t="n">
        <v>0.7</v>
      </c>
      <c r="H20" s="12" t="s">
        <v>14</v>
      </c>
    </row>
    <row r="21" customFormat="false" ht="21.75" hidden="false" customHeight="true" outlineLevel="0" collapsed="false">
      <c r="A21" s="3" t="n">
        <v>19</v>
      </c>
      <c r="B21" s="4" t="s">
        <v>41</v>
      </c>
      <c r="C21" s="4" t="s">
        <v>43</v>
      </c>
      <c r="D21" s="5" t="s">
        <v>20</v>
      </c>
      <c r="E21" s="5" t="n">
        <v>5</v>
      </c>
      <c r="F21" s="5" t="n">
        <v>6</v>
      </c>
      <c r="G21" s="6" t="n">
        <v>0</v>
      </c>
      <c r="H21" s="13" t="s">
        <v>18</v>
      </c>
    </row>
    <row r="22" customFormat="false" ht="21.75" hidden="false" customHeight="true" outlineLevel="0" collapsed="false">
      <c r="A22" s="8" t="n">
        <v>20</v>
      </c>
      <c r="B22" s="9" t="s">
        <v>44</v>
      </c>
      <c r="C22" s="9" t="s">
        <v>45</v>
      </c>
      <c r="D22" s="10" t="s">
        <v>16</v>
      </c>
      <c r="E22" s="10" t="n">
        <v>3</v>
      </c>
      <c r="F22" s="10" t="n">
        <v>5</v>
      </c>
      <c r="G22" s="11" t="n">
        <v>0.35</v>
      </c>
      <c r="H22" s="12" t="s">
        <v>14</v>
      </c>
    </row>
    <row r="23" customFormat="false" ht="21.75" hidden="false" customHeight="true" outlineLevel="0" collapsed="false">
      <c r="A23" s="3" t="n">
        <v>21</v>
      </c>
      <c r="B23" s="4" t="s">
        <v>46</v>
      </c>
      <c r="C23" s="4" t="s">
        <v>47</v>
      </c>
      <c r="D23" s="5" t="s">
        <v>16</v>
      </c>
      <c r="E23" s="5" t="n">
        <v>3</v>
      </c>
      <c r="F23" s="5" t="n">
        <v>4</v>
      </c>
      <c r="G23" s="6" t="n">
        <v>0.5</v>
      </c>
      <c r="H23" s="12" t="s">
        <v>14</v>
      </c>
    </row>
    <row r="24" customFormat="false" ht="21.75" hidden="false" customHeight="true" outlineLevel="0" collapsed="false">
      <c r="A24" s="8" t="n">
        <v>22</v>
      </c>
      <c r="B24" s="9" t="s">
        <v>46</v>
      </c>
      <c r="C24" s="9" t="s">
        <v>48</v>
      </c>
      <c r="D24" s="10" t="s">
        <v>37</v>
      </c>
      <c r="E24" s="10" t="n">
        <v>9</v>
      </c>
      <c r="F24" s="10" t="n">
        <v>10</v>
      </c>
      <c r="G24" s="11" t="n">
        <v>0</v>
      </c>
      <c r="H24" s="13" t="s">
        <v>18</v>
      </c>
    </row>
    <row r="25" customFormat="false" ht="21.75" hidden="false" customHeight="true" outlineLevel="0" collapsed="false">
      <c r="A25" s="3" t="n">
        <v>23</v>
      </c>
      <c r="B25" s="4" t="s">
        <v>49</v>
      </c>
      <c r="C25" s="4" t="s">
        <v>50</v>
      </c>
      <c r="D25" s="5" t="s">
        <v>16</v>
      </c>
      <c r="E25" s="5" t="n">
        <v>3</v>
      </c>
      <c r="F25" s="5" t="n">
        <v>5</v>
      </c>
      <c r="G25" s="6" t="n">
        <v>0.55</v>
      </c>
      <c r="H25" s="12" t="s">
        <v>14</v>
      </c>
    </row>
    <row r="26" customFormat="false" ht="21.75" hidden="false" customHeight="true" outlineLevel="0" collapsed="false">
      <c r="A26" s="8" t="n">
        <v>24</v>
      </c>
      <c r="B26" s="9" t="s">
        <v>49</v>
      </c>
      <c r="C26" s="9" t="s">
        <v>51</v>
      </c>
      <c r="D26" s="10" t="s">
        <v>37</v>
      </c>
      <c r="E26" s="10" t="n">
        <v>9</v>
      </c>
      <c r="F26" s="10" t="n">
        <v>10</v>
      </c>
      <c r="G26" s="11" t="n">
        <v>0</v>
      </c>
      <c r="H26" s="13" t="s">
        <v>18</v>
      </c>
    </row>
    <row r="27" customFormat="false" ht="21.75" hidden="false" customHeight="true" outlineLevel="0" collapsed="false">
      <c r="A27" s="3" t="n">
        <v>25</v>
      </c>
      <c r="B27" s="4" t="s">
        <v>49</v>
      </c>
      <c r="C27" s="4" t="s">
        <v>52</v>
      </c>
      <c r="D27" s="5" t="s">
        <v>29</v>
      </c>
      <c r="E27" s="5" t="n">
        <v>10</v>
      </c>
      <c r="F27" s="5" t="n">
        <v>12</v>
      </c>
      <c r="G27" s="6" t="n">
        <v>0</v>
      </c>
      <c r="H27" s="13" t="s">
        <v>18</v>
      </c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H3:H27" type="list">
      <formula1>"مكتمل,قيد التنفيذ,متأخر,لم يبدأ"</formula1>
      <formula2>0</formula2>
    </dataValidation>
    <dataValidation allowBlank="true" errorStyle="stop" operator="between" showDropDown="false" showErrorMessage="false" showInputMessage="false" sqref="D3:D27" type="list">
      <formula1>"م١ تهيئة,م٢ تحليل,م٣ تقييم,م٤ فجوات,م٥ خارطة"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5"/>
  </cols>
  <sheetData>
    <row r="1" customFormat="false" ht="36" hidden="false" customHeight="true" outlineLevel="0" collapsed="false">
      <c r="A1" s="15" t="s">
        <v>53</v>
      </c>
      <c r="B1" s="15"/>
      <c r="C1" s="15"/>
      <c r="D1" s="15"/>
      <c r="E1" s="15"/>
      <c r="F1" s="15"/>
      <c r="G1" s="15"/>
    </row>
    <row r="2" customFormat="false" ht="25.5" hidden="false" customHeight="true" outlineLevel="0" collapsed="false">
      <c r="A2" s="2" t="s">
        <v>2</v>
      </c>
      <c r="B2" s="2" t="s">
        <v>54</v>
      </c>
      <c r="C2" s="2" t="s">
        <v>55</v>
      </c>
      <c r="D2" s="2" t="s">
        <v>14</v>
      </c>
      <c r="E2" s="2" t="s">
        <v>56</v>
      </c>
      <c r="F2" s="2" t="s">
        <v>57</v>
      </c>
      <c r="G2" s="2" t="s">
        <v>7</v>
      </c>
    </row>
    <row r="3" customFormat="false" ht="24" hidden="false" customHeight="true" outlineLevel="0" collapsed="false">
      <c r="A3" s="16" t="s">
        <v>9</v>
      </c>
      <c r="B3" s="17" t="n">
        <f aca="false">COUNTIF(الأنشطة!B:B,"التخطيط الاستراتيجي وقياس الأداء")</f>
        <v>5</v>
      </c>
      <c r="C3" s="18" t="n">
        <f aca="false">COUNTIFS(الأنشطة!B:B,"التخطيط الاستراتيجي وقياس الأداء",الأنشطة!H:H,"مكتمل")</f>
        <v>1</v>
      </c>
      <c r="D3" s="19" t="n">
        <f aca="false">COUNTIFS(الأنشطة!B:B,"التخطيط الاستراتيجي وقياس الأداء",الأنشطة!H:H,"قيد التنفيذ")</f>
        <v>2</v>
      </c>
      <c r="E3" s="20" t="n">
        <f aca="false">COUNTIFS(الأنشطة!B:B,"التخطيط الاستراتيجي وقياس الأداء",الأنشطة!H:H,"متأخر")</f>
        <v>0</v>
      </c>
      <c r="F3" s="21" t="n">
        <f aca="false">COUNTIFS(الأنشطة!B:B,"التخطيط الاستراتيجي وقياس الأداء",الأنشطة!H:H,"لم يبدأ")</f>
        <v>2</v>
      </c>
      <c r="G3" s="6" t="n">
        <f aca="false">IFERROR(C3/B3,0)</f>
        <v>0.2</v>
      </c>
    </row>
    <row r="4" customFormat="false" ht="24" hidden="false" customHeight="true" outlineLevel="0" collapsed="false">
      <c r="A4" s="22" t="s">
        <v>21</v>
      </c>
      <c r="B4" s="23" t="n">
        <f aca="false">COUNTIF(الأنشطة!B:B,"التنظيم الإداري")</f>
        <v>3</v>
      </c>
      <c r="C4" s="18" t="n">
        <f aca="false">COUNTIFS(الأنشطة!B:B,"التنظيم الإداري",الأنشطة!H:H,"مكتمل")</f>
        <v>1</v>
      </c>
      <c r="D4" s="19" t="n">
        <f aca="false">COUNTIFS(الأنشطة!B:B,"التنظيم الإداري",الأنشطة!H:H,"قيد التنفيذ")</f>
        <v>1</v>
      </c>
      <c r="E4" s="20" t="n">
        <f aca="false">COUNTIFS(الأنشطة!B:B,"التنظيم الإداري",الأنشطة!H:H,"متأخر")</f>
        <v>0</v>
      </c>
      <c r="F4" s="21" t="n">
        <f aca="false">COUNTIFS(الأنشطة!B:B,"التنظيم الإداري",الأنشطة!H:H,"لم يبدأ")</f>
        <v>1</v>
      </c>
      <c r="G4" s="11" t="n">
        <f aca="false">IFERROR(C4/B4,0)</f>
        <v>0.333333333333333</v>
      </c>
    </row>
    <row r="5" customFormat="false" ht="24" hidden="false" customHeight="true" outlineLevel="0" collapsed="false">
      <c r="A5" s="16" t="s">
        <v>25</v>
      </c>
      <c r="B5" s="17" t="n">
        <f aca="false">COUNTIF(الأنشطة!B:B,"التحول الرقمي")</f>
        <v>3</v>
      </c>
      <c r="C5" s="18" t="n">
        <f aca="false">COUNTIFS(الأنشطة!B:B,"التحول الرقمي",الأنشطة!H:H,"مكتمل")</f>
        <v>0</v>
      </c>
      <c r="D5" s="19" t="n">
        <f aca="false">COUNTIFS(الأنشطة!B:B,"التحول الرقمي",الأنشطة!H:H,"قيد التنفيذ")</f>
        <v>2</v>
      </c>
      <c r="E5" s="20" t="n">
        <f aca="false">COUNTIFS(الأنشطة!B:B,"التحول الرقمي",الأنشطة!H:H,"متأخر")</f>
        <v>0</v>
      </c>
      <c r="F5" s="21" t="n">
        <f aca="false">COUNTIFS(الأنشطة!B:B,"التحول الرقمي",الأنشطة!H:H,"لم يبدأ")</f>
        <v>1</v>
      </c>
      <c r="G5" s="6" t="n">
        <f aca="false">IFERROR(C5/B5,0)</f>
        <v>0</v>
      </c>
    </row>
    <row r="6" customFormat="false" ht="24" hidden="false" customHeight="true" outlineLevel="0" collapsed="false">
      <c r="A6" s="22" t="s">
        <v>30</v>
      </c>
      <c r="B6" s="23" t="n">
        <f aca="false">COUNTIF(الأنشطة!B:B,"الحوكمة المؤسسية")</f>
        <v>2</v>
      </c>
      <c r="C6" s="18" t="n">
        <f aca="false">COUNTIFS(الأنشطة!B:B,"الحوكمة المؤسسية",الأنشطة!H:H,"مكتمل")</f>
        <v>0</v>
      </c>
      <c r="D6" s="19" t="n">
        <f aca="false">COUNTIFS(الأنشطة!B:B,"الحوكمة المؤسسية",الأنشطة!H:H,"قيد التنفيذ")</f>
        <v>1</v>
      </c>
      <c r="E6" s="20" t="n">
        <f aca="false">COUNTIFS(الأنشطة!B:B,"الحوكمة المؤسسية",الأنشطة!H:H,"متأخر")</f>
        <v>0</v>
      </c>
      <c r="F6" s="21" t="n">
        <f aca="false">COUNTIFS(الأنشطة!B:B,"الحوكمة المؤسسية",الأنشطة!H:H,"لم يبدأ")</f>
        <v>1</v>
      </c>
      <c r="G6" s="11" t="n">
        <f aca="false">IFERROR(C6/B6,0)</f>
        <v>0</v>
      </c>
    </row>
    <row r="7" customFormat="false" ht="24" hidden="false" customHeight="true" outlineLevel="0" collapsed="false">
      <c r="A7" s="16" t="s">
        <v>33</v>
      </c>
      <c r="B7" s="17" t="n">
        <f aca="false">COUNTIF(الأنشطة!B:B,"البنية المؤسسية")</f>
        <v>2</v>
      </c>
      <c r="C7" s="18" t="n">
        <f aca="false">COUNTIFS(الأنشطة!B:B,"البنية المؤسسية",الأنشطة!H:H,"مكتمل")</f>
        <v>0</v>
      </c>
      <c r="D7" s="19" t="n">
        <f aca="false">COUNTIFS(الأنشطة!B:B,"البنية المؤسسية",الأنشطة!H:H,"قيد التنفيذ")</f>
        <v>0</v>
      </c>
      <c r="E7" s="20" t="n">
        <f aca="false">COUNTIFS(الأنشطة!B:B,"البنية المؤسسية",الأنشطة!H:H,"متأخر")</f>
        <v>1</v>
      </c>
      <c r="F7" s="21" t="n">
        <f aca="false">COUNTIFS(الأنشطة!B:B,"البنية المؤسسية",الأنشطة!H:H,"لم يبدأ")</f>
        <v>1</v>
      </c>
      <c r="G7" s="6" t="n">
        <f aca="false">IFERROR(C7/B7,0)</f>
        <v>0</v>
      </c>
    </row>
    <row r="8" customFormat="false" ht="24" hidden="false" customHeight="true" outlineLevel="0" collapsed="false">
      <c r="A8" s="22" t="s">
        <v>38</v>
      </c>
      <c r="B8" s="23" t="n">
        <f aca="false">COUNTIF(الأنشطة!B:B,"العمليات الفنية للنيابة")</f>
        <v>2</v>
      </c>
      <c r="C8" s="18" t="n">
        <f aca="false">COUNTIFS(الأنشطة!B:B,"العمليات الفنية للنيابة",الأنشطة!H:H,"مكتمل")</f>
        <v>0</v>
      </c>
      <c r="D8" s="19" t="n">
        <f aca="false">COUNTIFS(الأنشطة!B:B,"العمليات الفنية للنيابة",الأنشطة!H:H,"قيد التنفيذ")</f>
        <v>1</v>
      </c>
      <c r="E8" s="20" t="n">
        <f aca="false">COUNTIFS(الأنشطة!B:B,"العمليات الفنية للنيابة",الأنشطة!H:H,"متأخر")</f>
        <v>0</v>
      </c>
      <c r="F8" s="21" t="n">
        <f aca="false">COUNTIFS(الأنشطة!B:B,"العمليات الفنية للنيابة",الأنشطة!H:H,"لم يبدأ")</f>
        <v>1</v>
      </c>
      <c r="G8" s="11" t="n">
        <f aca="false">IFERROR(C8/B8,0)</f>
        <v>0</v>
      </c>
    </row>
    <row r="9" customFormat="false" ht="24" hidden="false" customHeight="true" outlineLevel="0" collapsed="false">
      <c r="A9" s="16" t="s">
        <v>41</v>
      </c>
      <c r="B9" s="17" t="n">
        <f aca="false">COUNTIF(الأنشطة!B:B,"تجربة المستفيد")</f>
        <v>2</v>
      </c>
      <c r="C9" s="18" t="n">
        <f aca="false">COUNTIFS(الأنشطة!B:B,"تجربة المستفيد",الأنشطة!H:H,"مكتمل")</f>
        <v>0</v>
      </c>
      <c r="D9" s="19" t="n">
        <f aca="false">COUNTIFS(الأنشطة!B:B,"تجربة المستفيد",الأنشطة!H:H,"قيد التنفيذ")</f>
        <v>1</v>
      </c>
      <c r="E9" s="20" t="n">
        <f aca="false">COUNTIFS(الأنشطة!B:B,"تجربة المستفيد",الأنشطة!H:H,"متأخر")</f>
        <v>0</v>
      </c>
      <c r="F9" s="21" t="n">
        <f aca="false">COUNTIFS(الأنشطة!B:B,"تجربة المستفيد",الأنشطة!H:H,"لم يبدأ")</f>
        <v>1</v>
      </c>
      <c r="G9" s="6" t="n">
        <f aca="false">IFERROR(C9/B9,0)</f>
        <v>0</v>
      </c>
    </row>
    <row r="10" customFormat="false" ht="24" hidden="false" customHeight="true" outlineLevel="0" collapsed="false">
      <c r="A10" s="22" t="s">
        <v>44</v>
      </c>
      <c r="B10" s="23" t="n">
        <f aca="false">COUNTIF(الأنشطة!B:B,"التخطيط المالي وكفاءة الإنفاق")</f>
        <v>1</v>
      </c>
      <c r="C10" s="18" t="n">
        <f aca="false">COUNTIFS(الأنشطة!B:B,"التخطيط المالي وكفاءة الإنفاق",الأنشطة!H:H,"مكتمل")</f>
        <v>0</v>
      </c>
      <c r="D10" s="19" t="n">
        <f aca="false">COUNTIFS(الأنشطة!B:B,"التخطيط المالي وكفاءة الإنفاق",الأنشطة!H:H,"قيد التنفيذ")</f>
        <v>1</v>
      </c>
      <c r="E10" s="20" t="n">
        <f aca="false">COUNTIFS(الأنشطة!B:B,"التخطيط المالي وكفاءة الإنفاق",الأنشطة!H:H,"متأخر")</f>
        <v>0</v>
      </c>
      <c r="F10" s="21" t="n">
        <f aca="false">COUNTIFS(الأنشطة!B:B,"التخطيط المالي وكفاءة الإنفاق",الأنشطة!H:H,"لم يبدأ")</f>
        <v>0</v>
      </c>
      <c r="G10" s="11" t="n">
        <f aca="false">IFERROR(C10/B10,0)</f>
        <v>0</v>
      </c>
    </row>
    <row r="11" customFormat="false" ht="24" hidden="false" customHeight="true" outlineLevel="0" collapsed="false">
      <c r="A11" s="16" t="s">
        <v>46</v>
      </c>
      <c r="B11" s="17" t="n">
        <f aca="false">COUNTIF(الأنشطة!B:B,"الموارد البشرية والكفاءات")</f>
        <v>2</v>
      </c>
      <c r="C11" s="18" t="n">
        <f aca="false">COUNTIFS(الأنشطة!B:B,"الموارد البشرية والكفاءات",الأنشطة!H:H,"مكتمل")</f>
        <v>0</v>
      </c>
      <c r="D11" s="19" t="n">
        <f aca="false">COUNTIFS(الأنشطة!B:B,"الموارد البشرية والكفاءات",الأنشطة!H:H,"قيد التنفيذ")</f>
        <v>1</v>
      </c>
      <c r="E11" s="20" t="n">
        <f aca="false">COUNTIFS(الأنشطة!B:B,"الموارد البشرية والكفاءات",الأنشطة!H:H,"متأخر")</f>
        <v>0</v>
      </c>
      <c r="F11" s="21" t="n">
        <f aca="false">COUNTIFS(الأنشطة!B:B,"الموارد البشرية والكفاءات",الأنشطة!H:H,"لم يبدأ")</f>
        <v>1</v>
      </c>
      <c r="G11" s="6" t="n">
        <f aca="false">IFERROR(C11/B11,0)</f>
        <v>0</v>
      </c>
    </row>
    <row r="12" customFormat="false" ht="24" hidden="false" customHeight="true" outlineLevel="0" collapsed="false">
      <c r="A12" s="22" t="s">
        <v>49</v>
      </c>
      <c r="B12" s="23" t="n">
        <f aca="false">COUNTIF(الأنشطة!B:B,"الأمن السيبراني")</f>
        <v>3</v>
      </c>
      <c r="C12" s="18" t="n">
        <f aca="false">COUNTIFS(الأنشطة!B:B,"الأمن السيبراني",الأنشطة!H:H,"مكتمل")</f>
        <v>0</v>
      </c>
      <c r="D12" s="19" t="n">
        <f aca="false">COUNTIFS(الأنشطة!B:B,"الأمن السيبراني",الأنشطة!H:H,"قيد التنفيذ")</f>
        <v>1</v>
      </c>
      <c r="E12" s="20" t="n">
        <f aca="false">COUNTIFS(الأنشطة!B:B,"الأمن السيبراني",الأنشطة!H:H,"متأخر")</f>
        <v>0</v>
      </c>
      <c r="F12" s="21" t="n">
        <f aca="false">COUNTIFS(الأنشطة!B:B,"الأمن السيبراني",الأنشطة!H:H,"لم يبدأ")</f>
        <v>2</v>
      </c>
      <c r="G12" s="11" t="n">
        <f aca="false">IFERROR(C12/B12,0)</f>
        <v>0</v>
      </c>
    </row>
    <row r="13" customFormat="false" ht="27.75" hidden="false" customHeight="true" outlineLevel="0" collapsed="false">
      <c r="A13" s="24" t="s">
        <v>58</v>
      </c>
      <c r="B13" s="25" t="n">
        <f aca="false">SUM(B3:B12)</f>
        <v>25</v>
      </c>
      <c r="C13" s="25" t="n">
        <f aca="false">SUM(C3:C12)</f>
        <v>2</v>
      </c>
      <c r="D13" s="25" t="n">
        <f aca="false">SUM(D3:D12)</f>
        <v>11</v>
      </c>
      <c r="E13" s="25" t="n">
        <f aca="false">SUM(E3:E12)</f>
        <v>1</v>
      </c>
      <c r="F13" s="25" t="n">
        <f aca="false">SUM(F3:F12)</f>
        <v>11</v>
      </c>
      <c r="G13" s="26" t="n">
        <f aca="false">IFERROR(C13/B13,0)</f>
        <v>0.08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36" hidden="false" customHeight="true" outlineLevel="0" collapsed="false">
      <c r="A1" s="15" t="s">
        <v>59</v>
      </c>
      <c r="B1" s="15"/>
      <c r="C1" s="15"/>
      <c r="D1" s="15"/>
      <c r="E1" s="15"/>
      <c r="F1" s="15"/>
    </row>
    <row r="2" customFormat="false" ht="25.5" hidden="false" customHeight="true" outlineLevel="0" collapsed="false">
      <c r="A2" s="2" t="s">
        <v>1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8</v>
      </c>
    </row>
    <row r="3" customFormat="false" ht="21.75" hidden="false" customHeight="true" outlineLevel="0" collapsed="false">
      <c r="A3" s="3" t="n">
        <v>1</v>
      </c>
      <c r="B3" s="4" t="s">
        <v>64</v>
      </c>
      <c r="C3" s="4" t="s">
        <v>19</v>
      </c>
      <c r="D3" s="27" t="s">
        <v>65</v>
      </c>
      <c r="E3" s="5" t="s">
        <v>66</v>
      </c>
      <c r="F3" s="7" t="s">
        <v>67</v>
      </c>
    </row>
    <row r="4" customFormat="false" ht="21.75" hidden="false" customHeight="true" outlineLevel="0" collapsed="false">
      <c r="A4" s="8" t="n">
        <v>2</v>
      </c>
      <c r="B4" s="9" t="s">
        <v>64</v>
      </c>
      <c r="C4" s="9" t="s">
        <v>68</v>
      </c>
      <c r="D4" s="27" t="s">
        <v>65</v>
      </c>
      <c r="E4" s="10" t="s">
        <v>69</v>
      </c>
      <c r="F4" s="12" t="s">
        <v>70</v>
      </c>
    </row>
    <row r="5" customFormat="false" ht="21.75" hidden="false" customHeight="true" outlineLevel="0" collapsed="false">
      <c r="A5" s="3" t="n">
        <v>3</v>
      </c>
      <c r="B5" s="4" t="s">
        <v>25</v>
      </c>
      <c r="C5" s="4" t="s">
        <v>71</v>
      </c>
      <c r="D5" s="27" t="s">
        <v>65</v>
      </c>
      <c r="E5" s="5" t="s">
        <v>66</v>
      </c>
      <c r="F5" s="7" t="s">
        <v>67</v>
      </c>
    </row>
    <row r="6" customFormat="false" ht="21.75" hidden="false" customHeight="true" outlineLevel="0" collapsed="false">
      <c r="A6" s="8" t="n">
        <v>4</v>
      </c>
      <c r="B6" s="9" t="s">
        <v>30</v>
      </c>
      <c r="C6" s="9" t="s">
        <v>72</v>
      </c>
      <c r="D6" s="27" t="s">
        <v>65</v>
      </c>
      <c r="E6" s="10" t="s">
        <v>69</v>
      </c>
      <c r="F6" s="12" t="s">
        <v>70</v>
      </c>
    </row>
    <row r="7" customFormat="false" ht="21.75" hidden="false" customHeight="true" outlineLevel="0" collapsed="false">
      <c r="A7" s="3" t="n">
        <v>5</v>
      </c>
      <c r="B7" s="4" t="s">
        <v>49</v>
      </c>
      <c r="C7" s="4" t="s">
        <v>73</v>
      </c>
      <c r="D7" s="27" t="s">
        <v>65</v>
      </c>
      <c r="E7" s="5" t="s">
        <v>69</v>
      </c>
      <c r="F7" s="12" t="s">
        <v>70</v>
      </c>
    </row>
    <row r="8" customFormat="false" ht="21.75" hidden="false" customHeight="true" outlineLevel="0" collapsed="false">
      <c r="A8" s="8" t="n">
        <v>6</v>
      </c>
      <c r="B8" s="9" t="s">
        <v>33</v>
      </c>
      <c r="C8" s="9" t="s">
        <v>74</v>
      </c>
      <c r="D8" s="27" t="s">
        <v>65</v>
      </c>
      <c r="E8" s="10" t="s">
        <v>75</v>
      </c>
      <c r="F8" s="14" t="s">
        <v>35</v>
      </c>
    </row>
    <row r="9" customFormat="false" ht="21.75" hidden="false" customHeight="true" outlineLevel="0" collapsed="false">
      <c r="A9" s="3" t="n">
        <v>7</v>
      </c>
      <c r="B9" s="4" t="s">
        <v>41</v>
      </c>
      <c r="C9" s="4" t="s">
        <v>76</v>
      </c>
      <c r="D9" s="27" t="s">
        <v>65</v>
      </c>
      <c r="E9" s="5" t="s">
        <v>75</v>
      </c>
      <c r="F9" s="12" t="s">
        <v>70</v>
      </c>
    </row>
    <row r="10" customFormat="false" ht="21.75" hidden="false" customHeight="true" outlineLevel="0" collapsed="false">
      <c r="A10" s="8" t="n">
        <v>8</v>
      </c>
      <c r="B10" s="9" t="s">
        <v>77</v>
      </c>
      <c r="C10" s="9" t="s">
        <v>47</v>
      </c>
      <c r="D10" s="27" t="s">
        <v>65</v>
      </c>
      <c r="E10" s="10" t="s">
        <v>75</v>
      </c>
      <c r="F10" s="12" t="s">
        <v>70</v>
      </c>
    </row>
    <row r="11" customFormat="false" ht="21.75" hidden="false" customHeight="true" outlineLevel="0" collapsed="false">
      <c r="A11" s="3" t="n">
        <v>9</v>
      </c>
      <c r="B11" s="4" t="s">
        <v>21</v>
      </c>
      <c r="C11" s="4" t="s">
        <v>24</v>
      </c>
      <c r="D11" s="27" t="s">
        <v>78</v>
      </c>
      <c r="E11" s="5" t="s">
        <v>79</v>
      </c>
      <c r="F11" s="13" t="s">
        <v>18</v>
      </c>
    </row>
    <row r="12" customFormat="false" ht="21.75" hidden="false" customHeight="true" outlineLevel="0" collapsed="false">
      <c r="A12" s="8" t="n">
        <v>10</v>
      </c>
      <c r="B12" s="9" t="s">
        <v>25</v>
      </c>
      <c r="C12" s="9" t="s">
        <v>80</v>
      </c>
      <c r="D12" s="27" t="s">
        <v>78</v>
      </c>
      <c r="E12" s="10" t="s">
        <v>79</v>
      </c>
      <c r="F12" s="13" t="s">
        <v>18</v>
      </c>
    </row>
    <row r="13" customFormat="false" ht="21.75" hidden="false" customHeight="true" outlineLevel="0" collapsed="false">
      <c r="A13" s="3" t="n">
        <v>11</v>
      </c>
      <c r="B13" s="4" t="s">
        <v>64</v>
      </c>
      <c r="C13" s="4" t="s">
        <v>81</v>
      </c>
      <c r="D13" s="27" t="s">
        <v>78</v>
      </c>
      <c r="E13" s="5" t="s">
        <v>79</v>
      </c>
      <c r="F13" s="13" t="s">
        <v>18</v>
      </c>
    </row>
    <row r="14" customFormat="false" ht="21.75" hidden="false" customHeight="true" outlineLevel="0" collapsed="false">
      <c r="A14" s="8" t="n">
        <v>12</v>
      </c>
      <c r="B14" s="9" t="s">
        <v>49</v>
      </c>
      <c r="C14" s="9" t="s">
        <v>82</v>
      </c>
      <c r="D14" s="27" t="s">
        <v>78</v>
      </c>
      <c r="E14" s="10" t="s">
        <v>79</v>
      </c>
      <c r="F14" s="13" t="s">
        <v>18</v>
      </c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F3:F14" type="list">
      <formula1>"مُسلَّم,قيد الإعداد,متأخر,لم يبدأ"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0"/>
  </cols>
  <sheetData>
    <row r="1" customFormat="false" ht="36" hidden="false" customHeight="true" outlineLevel="0" collapsed="false">
      <c r="A1" s="15" t="s">
        <v>83</v>
      </c>
      <c r="B1" s="15"/>
      <c r="C1" s="15"/>
    </row>
    <row r="2" customFormat="false" ht="25.5" hidden="false" customHeight="true" outlineLevel="0" collapsed="false">
      <c r="A2" s="2" t="s">
        <v>84</v>
      </c>
      <c r="B2" s="2" t="s">
        <v>85</v>
      </c>
      <c r="C2" s="2" t="s">
        <v>86</v>
      </c>
    </row>
    <row r="3" customFormat="false" ht="25.5" hidden="false" customHeight="true" outlineLevel="0" collapsed="false">
      <c r="A3" s="28" t="s">
        <v>54</v>
      </c>
      <c r="B3" s="29" t="n">
        <f aca="false">COUNTA(الأنشطة!C3:C1000)</f>
        <v>25</v>
      </c>
      <c r="C3" s="30" t="s">
        <v>87</v>
      </c>
    </row>
    <row r="4" customFormat="false" ht="25.5" hidden="false" customHeight="true" outlineLevel="0" collapsed="false">
      <c r="A4" s="4" t="s">
        <v>88</v>
      </c>
      <c r="B4" s="31" t="n">
        <f aca="false">COUNTIF(الأنشطة!H3:H1000,"مكتمل")</f>
        <v>2</v>
      </c>
      <c r="C4" s="32"/>
    </row>
    <row r="5" customFormat="false" ht="25.5" hidden="false" customHeight="true" outlineLevel="0" collapsed="false">
      <c r="A5" s="28" t="s">
        <v>89</v>
      </c>
      <c r="B5" s="29" t="n">
        <f aca="false">COUNTIF(الأنشطة!H3:H1000,"قيد التنفيذ")</f>
        <v>11</v>
      </c>
      <c r="C5" s="30"/>
    </row>
    <row r="6" customFormat="false" ht="25.5" hidden="false" customHeight="true" outlineLevel="0" collapsed="false">
      <c r="A6" s="4" t="s">
        <v>90</v>
      </c>
      <c r="B6" s="31" t="n">
        <f aca="false">COUNTIF(الأنشطة!H3:H1000,"متأخر")</f>
        <v>1</v>
      </c>
      <c r="C6" s="32" t="s">
        <v>91</v>
      </c>
    </row>
    <row r="7" customFormat="false" ht="25.5" hidden="false" customHeight="true" outlineLevel="0" collapsed="false">
      <c r="A7" s="28" t="s">
        <v>92</v>
      </c>
      <c r="B7" s="29" t="n">
        <f aca="false">COUNTIF(الأنشطة!H3:H1000,"لم يبدأ")</f>
        <v>11</v>
      </c>
      <c r="C7" s="30"/>
    </row>
    <row r="8" customFormat="false" ht="25.5" hidden="false" customHeight="true" outlineLevel="0" collapsed="false">
      <c r="A8" s="4" t="s">
        <v>93</v>
      </c>
      <c r="B8" s="33" t="n">
        <f aca="false">IFERROR(COUNTIF(الأنشطة!H3:H1000,"مكتمل")/COUNTA(الأنشطة!C3:C1000),0)</f>
        <v>0.08</v>
      </c>
      <c r="C8" s="32" t="s">
        <v>94</v>
      </c>
    </row>
    <row r="9" customFormat="false" ht="25.5" hidden="false" customHeight="true" outlineLevel="0" collapsed="false">
      <c r="A9" s="28" t="s">
        <v>95</v>
      </c>
      <c r="B9" s="29" t="n">
        <f aca="false">COUNTA(المخرجات!C3:C1000)</f>
        <v>12</v>
      </c>
      <c r="C9" s="30"/>
    </row>
    <row r="10" customFormat="false" ht="25.5" hidden="false" customHeight="true" outlineLevel="0" collapsed="false">
      <c r="A10" s="4" t="s">
        <v>96</v>
      </c>
      <c r="B10" s="31" t="n">
        <f aca="false">COUNTIF(المخرجات!F3:F1000,"مُسلَّم")</f>
        <v>2</v>
      </c>
      <c r="C10" s="32"/>
    </row>
    <row r="11" customFormat="false" ht="25.5" hidden="false" customHeight="true" outlineLevel="0" collapsed="false">
      <c r="A11" s="28" t="s">
        <v>97</v>
      </c>
      <c r="B11" s="29" t="n">
        <f aca="false">COUNTIF(المخرجات!F3:F1000,"قيد الإعداد")</f>
        <v>5</v>
      </c>
      <c r="C11" s="30"/>
    </row>
    <row r="12" customFormat="false" ht="25.5" hidden="false" customHeight="true" outlineLevel="0" collapsed="false">
      <c r="A12" s="4" t="s">
        <v>98</v>
      </c>
      <c r="B12" s="31" t="n">
        <f aca="false">COUNTIF(المخرجات!F3:F1000,"متأخر")</f>
        <v>1</v>
      </c>
      <c r="C12" s="32"/>
    </row>
    <row r="13" customFormat="false" ht="25.5" hidden="false" customHeight="true" outlineLevel="0" collapsed="false">
      <c r="A13" s="28" t="s">
        <v>99</v>
      </c>
      <c r="B13" s="34" t="n">
        <f aca="false">IFERROR(COUNTIF(المخرجات!F3:F1000,"مُسلَّم")/COUNTA(المخرجات!C3:C1000),0)</f>
        <v>0.166666666666667</v>
      </c>
      <c r="C13" s="30"/>
    </row>
    <row r="14" customFormat="false" ht="25.5" hidden="false" customHeight="true" outlineLevel="0" collapsed="false">
      <c r="A14" s="35" t="s">
        <v>100</v>
      </c>
      <c r="B14" s="36" t="n">
        <v>1</v>
      </c>
      <c r="C14" s="37" t="s">
        <v>101</v>
      </c>
    </row>
    <row r="15" customFormat="false" ht="25.5" hidden="false" customHeight="true" outlineLevel="0" collapsed="false">
      <c r="A15" s="28" t="s">
        <v>102</v>
      </c>
      <c r="B15" s="29" t="n">
        <v>12</v>
      </c>
      <c r="C15" s="30" t="s">
        <v>103</v>
      </c>
    </row>
    <row r="16" customFormat="false" ht="25.5" hidden="false" customHeight="true" outlineLevel="0" collapsed="false">
      <c r="A16" s="4" t="s">
        <v>104</v>
      </c>
      <c r="B16" s="33" t="n">
        <f aca="false">IFERROR(B14/B15,0)</f>
        <v>0.0833333333333333</v>
      </c>
      <c r="C16" s="3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</cols>
  <sheetData>
    <row r="1" customFormat="false" ht="27.75" hidden="false" customHeight="true" outlineLevel="0" collapsed="false">
      <c r="A1" s="38" t="s">
        <v>105</v>
      </c>
    </row>
    <row r="2" customFormat="false" ht="27.75" hidden="false" customHeight="true" outlineLevel="0" collapsed="false">
      <c r="A2" s="39"/>
    </row>
    <row r="3" customFormat="false" ht="27.75" hidden="false" customHeight="true" outlineLevel="0" collapsed="false">
      <c r="A3" s="40" t="s">
        <v>106</v>
      </c>
    </row>
    <row r="4" customFormat="false" ht="27.75" hidden="false" customHeight="true" outlineLevel="0" collapsed="false">
      <c r="A4" s="41" t="s">
        <v>107</v>
      </c>
    </row>
    <row r="5" customFormat="false" ht="27.75" hidden="false" customHeight="true" outlineLevel="0" collapsed="false">
      <c r="A5" s="39"/>
    </row>
    <row r="6" customFormat="false" ht="27.75" hidden="false" customHeight="true" outlineLevel="0" collapsed="false">
      <c r="A6" s="42" t="s">
        <v>108</v>
      </c>
    </row>
    <row r="7" customFormat="false" ht="27.75" hidden="false" customHeight="true" outlineLevel="0" collapsed="false">
      <c r="A7" s="39" t="s">
        <v>109</v>
      </c>
    </row>
    <row r="8" customFormat="false" ht="27.75" hidden="false" customHeight="true" outlineLevel="0" collapsed="false">
      <c r="A8" s="43" t="s">
        <v>110</v>
      </c>
    </row>
    <row r="9" customFormat="false" ht="27.75" hidden="false" customHeight="true" outlineLevel="0" collapsed="false">
      <c r="A9" s="39" t="s">
        <v>111</v>
      </c>
    </row>
    <row r="10" customFormat="false" ht="27.75" hidden="false" customHeight="true" outlineLevel="0" collapsed="false">
      <c r="A10" s="43" t="s">
        <v>112</v>
      </c>
    </row>
    <row r="11" customFormat="false" ht="27.75" hidden="false" customHeight="true" outlineLevel="0" collapsed="false">
      <c r="A11" s="39"/>
    </row>
    <row r="12" customFormat="false" ht="27.75" hidden="false" customHeight="true" outlineLevel="0" collapsed="false">
      <c r="A12" s="40" t="s">
        <v>113</v>
      </c>
    </row>
    <row r="13" customFormat="false" ht="27.75" hidden="false" customHeight="true" outlineLevel="0" collapsed="false">
      <c r="A13" s="39" t="s">
        <v>114</v>
      </c>
    </row>
    <row r="14" customFormat="false" ht="27.75" hidden="false" customHeight="true" outlineLevel="0" collapsed="false">
      <c r="A14" s="43" t="s">
        <v>115</v>
      </c>
    </row>
    <row r="15" customFormat="false" ht="27.75" hidden="false" customHeight="true" outlineLevel="0" collapsed="false">
      <c r="A15" s="39" t="s">
        <v>116</v>
      </c>
    </row>
    <row r="16" customFormat="false" ht="27.75" hidden="false" customHeight="true" outlineLevel="0" collapsed="false">
      <c r="A16" s="43" t="s">
        <v>117</v>
      </c>
    </row>
    <row r="17" customFormat="false" ht="27.75" hidden="false" customHeight="true" outlineLevel="0" collapsed="false">
      <c r="A17" s="39" t="s">
        <v>118</v>
      </c>
    </row>
    <row r="18" customFormat="false" ht="27.75" hidden="false" customHeight="true" outlineLevel="0" collapsed="false">
      <c r="A18" s="39"/>
    </row>
    <row r="19" customFormat="false" ht="27.75" hidden="false" customHeight="true" outlineLevel="0" collapsed="false">
      <c r="A19" s="44" t="s">
        <v>119</v>
      </c>
    </row>
    <row r="20" customFormat="false" ht="27.75" hidden="false" customHeight="true" outlineLevel="0" collapsed="false">
      <c r="A20" s="45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2026-05-21T13:04:30Z</dcterms:created>
  <dc:creator>openpyxl</dc:creator>
  <dc:description/>
  <dc:language>en-US</dc:language>
  <cp:lastModifiedBy/>
  <dcterms:modified xsi:type="dcterms:W3CDTF">2026-05-21T13:04:31Z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